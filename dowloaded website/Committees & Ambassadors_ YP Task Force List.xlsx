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ttees" sheetId="1" r:id="rId5"/>
    <sheet state="visible" name="Ambassadors" sheetId="2" r:id="rId6"/>
  </sheets>
  <definedNames>
    <definedName hidden="1" localSheetId="1" name="_xlnm._FilterDatabase">Ambassadors!$A$1:$L$26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madihaneifar@ieee.org, masmoudi.khalil@ieee.org, ranimdamak@ieee.org, masmoudy.oumayma@ieee.org, nadinejellali@ieee.org, mohamedali.krichen@ieee.org, iskandar.ghorbel@ieee.org, yosr.jabloun@ieee.org, malek.fakhfakh@ieee.org, yassine.soussi@ieee.org, dorsafjallouli@ieee.org, Rahma.benslema@ieee.org, linalabidi@ieee.org, medaminebenhellel@ieee.org, ayachokrimonastirtn@ieee.org, adam.lassidi@ieee.org, amir.zouenkhi@ieee.org, helmi.bouhlel@ieee.org, maryem.yousfi@ieee.org, omar.guetat@ieee.org, eyaayedi@ieee.org, medazizmiledi@ieee.org, khalilguettat@ieee.org, frikhayasmine@ieee.org</t>
      </text>
    </comment>
    <comment authorId="0" ref="N1">
      <text>
        <t xml:space="preserve">Admin: +21629495297
+21650239397
+21653523759</t>
      </text>
    </comment>
  </commentList>
</comments>
</file>

<file path=xl/sharedStrings.xml><?xml version="1.0" encoding="utf-8"?>
<sst xmlns="http://schemas.openxmlformats.org/spreadsheetml/2006/main" count="476" uniqueCount="219">
  <si>
    <t>First Name</t>
  </si>
  <si>
    <t>Last Name</t>
  </si>
  <si>
    <t>Full Name</t>
  </si>
  <si>
    <t>IEEE ID</t>
  </si>
  <si>
    <t>Email</t>
  </si>
  <si>
    <t>IEEE membership</t>
  </si>
  <si>
    <t>Phone number (WhatsApp)</t>
  </si>
  <si>
    <t>IEEE Student Branch</t>
  </si>
  <si>
    <t>City (residence)</t>
  </si>
  <si>
    <t>City (study/work)</t>
  </si>
  <si>
    <t>WhatsApp</t>
  </si>
  <si>
    <t>Discord Server</t>
  </si>
  <si>
    <t>Rafed</t>
  </si>
  <si>
    <t>Jabri</t>
  </si>
  <si>
    <t>Photo ID</t>
  </si>
  <si>
    <t>Position</t>
  </si>
  <si>
    <t>Committee</t>
  </si>
  <si>
    <t>Other Affiliations</t>
  </si>
  <si>
    <t>rafedjabri@ieee.org</t>
  </si>
  <si>
    <t>Member</t>
  </si>
  <si>
    <t>N/A</t>
  </si>
  <si>
    <t>Beja</t>
  </si>
  <si>
    <t>Ben Arous</t>
  </si>
  <si>
    <t>M
12-05-2026</t>
  </si>
  <si>
    <t>Fares</t>
  </si>
  <si>
    <t>Gharbi</t>
  </si>
  <si>
    <t>fares_gharbi@ieee.org</t>
  </si>
  <si>
    <t>Sfax</t>
  </si>
  <si>
    <t>M
01-09-2026</t>
  </si>
  <si>
    <t>Baha Eddine</t>
  </si>
  <si>
    <t>Hammou</t>
  </si>
  <si>
    <t>bahaeddinehammou@ieee.org</t>
  </si>
  <si>
    <t>Graduate Student Member</t>
  </si>
  <si>
    <t>ENSIT</t>
  </si>
  <si>
    <t>Tunis</t>
  </si>
  <si>
    <t>M
04-09-2026</t>
  </si>
  <si>
    <t>Menyar</t>
  </si>
  <si>
    <t>Ben Rebah</t>
  </si>
  <si>
    <t>menyar.benrebah@ieee.org</t>
  </si>
  <si>
    <t>IEEE FST SB</t>
  </si>
  <si>
    <t>M
20-09-2026</t>
  </si>
  <si>
    <t>Yosri</t>
  </si>
  <si>
    <t>Essalah</t>
  </si>
  <si>
    <t>yosri.essalah@ieee.org</t>
  </si>
  <si>
    <t>Malek Aziz</t>
  </si>
  <si>
    <t>Hassayoun</t>
  </si>
  <si>
    <t>malekaziz.hassayoun@ieee.org</t>
  </si>
  <si>
    <t>IEEE SESAME SB</t>
  </si>
  <si>
    <t>Monastir</t>
  </si>
  <si>
    <t>Ariana</t>
  </si>
  <si>
    <t>Nour</t>
  </si>
  <si>
    <t>Limem</t>
  </si>
  <si>
    <t>nourlimem@ieee.org</t>
  </si>
  <si>
    <t>Madiha</t>
  </si>
  <si>
    <t>Neifar</t>
  </si>
  <si>
    <t>IEEE FSB SB</t>
  </si>
  <si>
    <t>Bizerte</t>
  </si>
  <si>
    <t>Rama</t>
  </si>
  <si>
    <t>Hermi</t>
  </si>
  <si>
    <t>hermi.rama94@ieee.org</t>
  </si>
  <si>
    <t>madihaneifar@ieee.org</t>
  </si>
  <si>
    <t>Chair</t>
  </si>
  <si>
    <t>Chaima</t>
  </si>
  <si>
    <t>Ben Ayed</t>
  </si>
  <si>
    <t>benayed.chaima@ieee.org</t>
  </si>
  <si>
    <t>Officer</t>
  </si>
  <si>
    <t>Jaber</t>
  </si>
  <si>
    <t>Soyed</t>
  </si>
  <si>
    <t>jaber.soyed@ieee.org</t>
  </si>
  <si>
    <t>Higher School of Sciences &amp; Tech of Hammam Sousse Student Branch</t>
  </si>
  <si>
    <t>Sousse</t>
  </si>
  <si>
    <t>Oussama</t>
  </si>
  <si>
    <t>Ben Mahmoud</t>
  </si>
  <si>
    <t>oussamabenmahmoud26@gmail.com</t>
  </si>
  <si>
    <t>ESSTHS</t>
  </si>
  <si>
    <t>Chargui</t>
  </si>
  <si>
    <t>nour.chargui@ieee.org</t>
  </si>
  <si>
    <t>IEEE VTS Tunisia Section Chapter</t>
  </si>
  <si>
    <t>A</t>
  </si>
  <si>
    <t>Ayoub</t>
  </si>
  <si>
    <t>Madyouni</t>
  </si>
  <si>
    <t>ayoub_madyouni@ieee.org</t>
  </si>
  <si>
    <t>Khalil</t>
  </si>
  <si>
    <t>Nermine</t>
  </si>
  <si>
    <t>Ouada</t>
  </si>
  <si>
    <t>Masmoudi</t>
  </si>
  <si>
    <t>nermine.ouada@ieee.org</t>
  </si>
  <si>
    <t>Undergraduate Student Member</t>
  </si>
  <si>
    <t>IEEE ENICarthage SB</t>
  </si>
  <si>
    <t>masmoudi.khalil@ieee.org</t>
  </si>
  <si>
    <t>Vice-Chair</t>
  </si>
  <si>
    <t>Tasnim</t>
  </si>
  <si>
    <t>Saidi</t>
  </si>
  <si>
    <t>tasnim.saidi@enicar.ucar.tn</t>
  </si>
  <si>
    <t>l</t>
  </si>
  <si>
    <t>P</t>
  </si>
  <si>
    <t>Ahmed</t>
  </si>
  <si>
    <t>Ranim</t>
  </si>
  <si>
    <t>Damak</t>
  </si>
  <si>
    <t>ranimdamak@ieee.org</t>
  </si>
  <si>
    <t>Secretary</t>
  </si>
  <si>
    <t>Ahmedmasmoudi@ieee.org</t>
  </si>
  <si>
    <t>IEEE ENET'Com SB</t>
  </si>
  <si>
    <t>Mejdi</t>
  </si>
  <si>
    <t>Chennoufi</t>
  </si>
  <si>
    <t>Oumayma</t>
  </si>
  <si>
    <t>Masmoudy</t>
  </si>
  <si>
    <t>masmoudy.oumayma@ieee.org</t>
  </si>
  <si>
    <t>Contact@Mejdi.Ch</t>
  </si>
  <si>
    <t>Assistant Secretary</t>
  </si>
  <si>
    <t>Nabeul</t>
  </si>
  <si>
    <t>Guidara</t>
  </si>
  <si>
    <t>nourguidara1234@gmail.com</t>
  </si>
  <si>
    <t>Nadine</t>
  </si>
  <si>
    <t>Eya</t>
  </si>
  <si>
    <t>Jellali</t>
  </si>
  <si>
    <t>Jaoua</t>
  </si>
  <si>
    <t>nadinejellali@ieee.org</t>
  </si>
  <si>
    <t>eya.jaoua@ieee.org</t>
  </si>
  <si>
    <t>Events Coordinator</t>
  </si>
  <si>
    <t>IEEE ISIMS SB</t>
  </si>
  <si>
    <t>Molka</t>
  </si>
  <si>
    <t>Weslati</t>
  </si>
  <si>
    <t>molkaweslati@ieee.org</t>
  </si>
  <si>
    <t>Mohamed Ali</t>
  </si>
  <si>
    <t>Krichen</t>
  </si>
  <si>
    <t>IEEE ENSIT SB</t>
  </si>
  <si>
    <t>mohamedali.krichen@ieee.org</t>
  </si>
  <si>
    <t>Treasurer</t>
  </si>
  <si>
    <t>Yasmine</t>
  </si>
  <si>
    <t>Aidoudi</t>
  </si>
  <si>
    <t>yasmine.aidoudi@ieee.org</t>
  </si>
  <si>
    <t>Iskandar</t>
  </si>
  <si>
    <t>Ghorbel</t>
  </si>
  <si>
    <t>iskandar.ghorbel@ieee.org</t>
  </si>
  <si>
    <t>Maram</t>
  </si>
  <si>
    <t>Kharroubi</t>
  </si>
  <si>
    <t>Webmaster</t>
  </si>
  <si>
    <t>kharroubimaram@ieee.org</t>
  </si>
  <si>
    <t>IEEE ENIG SB</t>
  </si>
  <si>
    <t>Gabes</t>
  </si>
  <si>
    <t>Mohamed</t>
  </si>
  <si>
    <t>Saddour</t>
  </si>
  <si>
    <t>mohamedsaddour2@gmail.com</t>
  </si>
  <si>
    <t>Yosr</t>
  </si>
  <si>
    <t>Jabloun</t>
  </si>
  <si>
    <t>Ameni</t>
  </si>
  <si>
    <t>Selmi</t>
  </si>
  <si>
    <t>https://drive.google.com/open?id=115Rro8AXGRJ3NCZWglx6rvhXDB8VJZf3</t>
  </si>
  <si>
    <t>ameniselmi1925@gmail.com</t>
  </si>
  <si>
    <t>Nada</t>
  </si>
  <si>
    <t>Nar</t>
  </si>
  <si>
    <t>nadaennar@ieee.org</t>
  </si>
  <si>
    <t>IEEE ENISo SB</t>
  </si>
  <si>
    <t>yosr.jabloun@ieee.org</t>
  </si>
  <si>
    <t>Coordination</t>
  </si>
  <si>
    <t>Malek</t>
  </si>
  <si>
    <t>Fakhfakh</t>
  </si>
  <si>
    <t>https://drive.google.com/open?id=18mzcxXI8fs9KyxYtAga3w7hQxM63na4t</t>
  </si>
  <si>
    <t>malek.fakhfakh@ieee.org</t>
  </si>
  <si>
    <t>-</t>
  </si>
  <si>
    <t>Yassine</t>
  </si>
  <si>
    <t>Soussi</t>
  </si>
  <si>
    <t>https://drive.google.com/open?id=1g2s5y6pDyjoAYzH_PztByMZaWmXVGLqK</t>
  </si>
  <si>
    <t>yassine.soussi@ieee.org</t>
  </si>
  <si>
    <t>Dorsaf</t>
  </si>
  <si>
    <t>Jallouli</t>
  </si>
  <si>
    <t>https://drive.google.com/open?id=1qFD4JJvMfWpTTBK5h3uQ44NCFTcj0jVi</t>
  </si>
  <si>
    <t>dorsafjallouli@ieee.org</t>
  </si>
  <si>
    <t>Rahma</t>
  </si>
  <si>
    <t>Benslema</t>
  </si>
  <si>
    <t>https://drive.google.com/open?id=1bZiLEc9jbeSENz-3zaP96HaGr0yoRbb9</t>
  </si>
  <si>
    <t>Rahma.benslema@ieee.org</t>
  </si>
  <si>
    <t>Support</t>
  </si>
  <si>
    <t>Lina</t>
  </si>
  <si>
    <t>Labidi</t>
  </si>
  <si>
    <t>https://drive.google.com/open?id=15pAQwmJoxoUtfaBKj3Uj-7kV291TtcW_</t>
  </si>
  <si>
    <t>linalabidi@ieee.org</t>
  </si>
  <si>
    <t>Mohamed Amine</t>
  </si>
  <si>
    <t>Ben Helal</t>
  </si>
  <si>
    <t>https://drive.google.com/open?id=1za1XVO6J_WqR_4yP4ulxkUT_tya-Z684</t>
  </si>
  <si>
    <t>medaminebenhellel@ieee.org</t>
  </si>
  <si>
    <t>Aya</t>
  </si>
  <si>
    <t>Chokri</t>
  </si>
  <si>
    <t>https://drive.google.com/open?id=1nxz-xrwlYNAqm-qMmp4boRqkrKirp8Il</t>
  </si>
  <si>
    <t>ayachokrimonastirtn@ieee.org</t>
  </si>
  <si>
    <t>Adam</t>
  </si>
  <si>
    <t>Lassidi</t>
  </si>
  <si>
    <t>https://drive.google.com/open?id=1kv-9bM9q4lniMI5oHyVmBtmQVtcmxFco</t>
  </si>
  <si>
    <t>adam.lassidi@ieee.org</t>
  </si>
  <si>
    <t>Logistics</t>
  </si>
  <si>
    <t>Siliana</t>
  </si>
  <si>
    <t>Amir</t>
  </si>
  <si>
    <t>Zouenkhi</t>
  </si>
  <si>
    <t>https://drive.google.com/open?id=1Ccg8nISGIPiVhdw0MmUNbJ1Ed6oJ_orO</t>
  </si>
  <si>
    <t>amir.zouenkhi@ieee.org</t>
  </si>
  <si>
    <t>Helmi</t>
  </si>
  <si>
    <t>Bouhlel</t>
  </si>
  <si>
    <t>https://drive.google.com/open?id=16wh8nXXdNymojQGeHA9FzUveXRm6iDuz</t>
  </si>
  <si>
    <t>helmi.bouhlel@ieee.org</t>
  </si>
  <si>
    <t>Maryem</t>
  </si>
  <si>
    <t>Yousfi</t>
  </si>
  <si>
    <t>https://drive.google.com/open?id=1ivSdSqNrCffgE4vFk8MeTOG47ZxEintj</t>
  </si>
  <si>
    <t>maryem.yousfi@ieee.org</t>
  </si>
  <si>
    <t>Omar</t>
  </si>
  <si>
    <t>Guettat</t>
  </si>
  <si>
    <t>https://drive.google.com/open?id=11WrHRxoM1fZ3IOWxfrCKRxFfo2Rc_Q7X</t>
  </si>
  <si>
    <t>omar.guetat@ieee.org</t>
  </si>
  <si>
    <t>Ayadi</t>
  </si>
  <si>
    <t>https://drive.google.com/open?id=1-QJeJmnDaZ0Bp-fJ1RwVQZKerfmMlg_U</t>
  </si>
  <si>
    <t>eyaayedi@ieee.org</t>
  </si>
  <si>
    <t>Human Resources</t>
  </si>
  <si>
    <t>Mohamed Aziz</t>
  </si>
  <si>
    <t>Miladi</t>
  </si>
  <si>
    <t>medazizmiledi@ieee.org</t>
  </si>
  <si>
    <t>khalilguettat@ieee.org</t>
  </si>
  <si>
    <t>Frikha</t>
  </si>
  <si>
    <t>frikhayasmine@ieee.org</t>
  </si>
  <si>
    <t>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</si>
</sst>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color theme="1"/>
      <name val="Arial"/>
      <scheme val="minor"/>
    </font>
    <font>
      <color rgb="FF000000"/>
      <name val="Roboto"/>
    </font>
    <font>
      <u/>
      <color rgb="FF0000FF"/>
    </font>
    <font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9CB9C"/>
        <bgColor rgb="FFF9CB9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</border>
    <border>
      <left style="thin">
        <color rgb="FF666666"/>
      </left>
      <right style="thin">
        <color rgb="FF666666"/>
      </right>
      <bottom style="thin">
        <color rgb="FF666666"/>
      </bottom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0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3" fillId="3" fontId="3" numFmtId="0" xfId="0" applyAlignment="1" applyBorder="1" applyFill="1" applyFont="1">
      <alignment horizontal="center" readingOrder="0" shrinkToFit="0" vertical="center" wrapText="1"/>
    </xf>
    <xf borderId="1" fillId="3" fontId="0" numFmtId="0" xfId="0" applyAlignment="1" applyBorder="1" applyFill="1" applyFont="1">
      <alignment horizontal="left" shrinkToFit="0" vertical="center" wrapText="1"/>
    </xf>
    <xf borderId="1" fillId="3" fontId="0" numFmtId="0" xfId="0" applyAlignment="1" applyBorder="1" applyFill="1" applyFont="1">
      <alignment horizontal="center" shrinkToFit="0" vertical="center" wrapText="1"/>
    </xf>
    <xf borderId="1" fillId="3" fontId="0" numFmtId="0" xfId="0" applyAlignment="1" applyBorder="1" applyFill="1" applyFont="1">
      <alignment horizontal="left" readingOrder="0" shrinkToFit="0" vertical="center" wrapText="1"/>
    </xf>
    <xf borderId="1" fillId="3" fontId="0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vertical="center"/>
    </xf>
    <xf borderId="1" fillId="4" fontId="0" numFmtId="0" xfId="0" applyAlignment="1" applyBorder="1" applyFill="1" applyFont="1">
      <alignment horizontal="left" shrinkToFit="0" vertical="center" wrapText="1"/>
    </xf>
    <xf borderId="1" fillId="4" fontId="0" numFmtId="0" xfId="0" applyAlignment="1" applyBorder="1" applyFill="1" applyFont="1">
      <alignment horizontal="center" readingOrder="0" shrinkToFit="0" vertical="center" wrapText="1"/>
    </xf>
    <xf borderId="1" fillId="4" fontId="0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left" readingOrder="0" shrinkToFit="0" vertical="center" wrapText="1"/>
    </xf>
    <xf borderId="5" fillId="3" fontId="9" numFmtId="0" xfId="0" applyAlignment="1" applyBorder="1" applyFill="1" applyFont="1">
      <alignment horizontal="left" readingOrder="0"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readingOrder="0" shrinkToFit="0" vertical="center" wrapText="1"/>
    </xf>
    <xf borderId="5" fillId="0" fontId="9" numFmtId="0" xfId="0" applyAlignment="1" applyBorder="1" applyFont="1">
      <alignment shrinkToFit="0" vertical="center" wrapText="1"/>
    </xf>
    <xf borderId="5" fillId="0" fontId="9" numFmtId="0" xfId="0" applyAlignment="1" applyBorder="1" applyFont="1">
      <alignment horizontal="center" readingOrder="0" shrinkToFit="0" vertical="center" wrapText="1"/>
    </xf>
    <xf borderId="5" fillId="0" fontId="9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vertical="center"/>
    </xf>
    <xf borderId="5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readingOrder="0" shrinkToFit="0" vertical="center" wrapText="1"/>
    </xf>
    <xf borderId="6" fillId="3" fontId="9" numFmtId="0" xfId="0" applyAlignment="1" applyBorder="1" applyFill="1" applyFont="1">
      <alignment horizontal="left"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readingOrder="0" shrinkToFit="0" vertical="center" wrapText="1"/>
    </xf>
    <xf borderId="6" fillId="0" fontId="9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9" numFmtId="0" xfId="0" applyAlignment="1" applyBorder="1" applyFont="1">
      <alignment shrinkToFit="0" vertical="center" wrapText="1"/>
    </xf>
    <xf borderId="6" fillId="0" fontId="9" numFmtId="0" xfId="0" applyAlignment="1" applyBorder="1" applyFont="1">
      <alignment horizontal="center" shrinkToFit="0" vertical="center" wrapText="1"/>
    </xf>
    <xf borderId="6" fillId="3" fontId="11" numFmtId="0" xfId="0" applyAlignment="1" applyBorder="1" applyFill="1" applyFont="1">
      <alignment horizontal="left" readingOrder="0" shrinkToFit="0" vertical="center" wrapText="1"/>
    </xf>
    <xf borderId="6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0" fontId="12" numFmtId="0" xfId="0" applyAlignment="1" applyBorder="1" applyFont="1">
      <alignment horizontal="left" readingOrder="0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5" numFmtId="0" xfId="0" applyAlignment="1" applyBorder="1" applyFont="1">
      <alignment horizontal="center" readingOrder="0" shrinkToFit="0" vertical="center" wrapText="1"/>
    </xf>
    <xf borderId="6" fillId="0" fontId="9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FFFFFF"/>
      </font>
      <fill>
        <patternFill patternType="solid">
          <fgColor rgb="FFF58220"/>
          <bgColor rgb="FFF5822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B7B7B7"/>
          <bgColor rgb="FFB7B7B7"/>
        </patternFill>
      </fill>
      <border/>
    </dxf>
  </dxfs>
  <tableStyles count="1">
    <tableStyle count="2" pivot="0" name="Committee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L9:AF25" displayName="Table_1" name="Table_1" id="1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Committe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open?id=15pAQwmJoxoUtfaBKj3Uj-7kV291TtcW_" TargetMode="External"/><Relationship Id="rId10" Type="http://schemas.openxmlformats.org/officeDocument/2006/relationships/hyperlink" Target="https://drive.google.com/open?id=1bZiLEc9jbeSENz-3zaP96HaGr0yoRbb9" TargetMode="External"/><Relationship Id="rId21" Type="http://schemas.openxmlformats.org/officeDocument/2006/relationships/vmlDrawing" Target="../drawings/vmlDrawing1.vml"/><Relationship Id="rId13" Type="http://schemas.openxmlformats.org/officeDocument/2006/relationships/hyperlink" Target="https://drive.google.com/open?id=1nxz-xrwlYNAqm-qMmp4boRqkrKirp8Il" TargetMode="External"/><Relationship Id="rId12" Type="http://schemas.openxmlformats.org/officeDocument/2006/relationships/hyperlink" Target="https://drive.google.com/open?id=1za1XVO6J_WqR_4yP4ulxkUT_tya-Z684" TargetMode="External"/><Relationship Id="rId23" Type="http://schemas.openxmlformats.org/officeDocument/2006/relationships/table" Target="../tables/table1.xml"/><Relationship Id="rId1" Type="http://schemas.openxmlformats.org/officeDocument/2006/relationships/comments" Target="../comments1.xml"/><Relationship Id="rId2" Type="http://schemas.openxmlformats.org/officeDocument/2006/relationships/hyperlink" Target="https://docs.google.com/document/d/1-jL1smp2854ecUNuwMGphpKKhCFICkNA-1A6iQbZguQ/edit?usp=drive_link" TargetMode="External"/><Relationship Id="rId3" Type="http://schemas.openxmlformats.org/officeDocument/2006/relationships/hyperlink" Target="https://docs.google.com/document/d/1QQE-4mZYGFzFY8ei3k9Z8Xwl9Kaj7GY5Av11QPlVdzA/edit?usp=drive_link" TargetMode="External"/><Relationship Id="rId4" Type="http://schemas.openxmlformats.org/officeDocument/2006/relationships/hyperlink" Target="https://docs.google.com/document/d/1SaWXlB4JvB42FKVK_3JG6cBEpr-HZ-HRjDFzHwR7NHY/edit?usp=sharing" TargetMode="External"/><Relationship Id="rId9" Type="http://schemas.openxmlformats.org/officeDocument/2006/relationships/hyperlink" Target="https://drive.google.com/open?id=1qFD4JJvMfWpTTBK5h3uQ44NCFTcj0jVi" TargetMode="External"/><Relationship Id="rId15" Type="http://schemas.openxmlformats.org/officeDocument/2006/relationships/hyperlink" Target="https://drive.google.com/open?id=1Ccg8nISGIPiVhdw0MmUNbJ1Ed6oJ_orO" TargetMode="External"/><Relationship Id="rId14" Type="http://schemas.openxmlformats.org/officeDocument/2006/relationships/hyperlink" Target="https://drive.google.com/open?id=1kv-9bM9q4lniMI5oHyVmBtmQVtcmxFco" TargetMode="External"/><Relationship Id="rId17" Type="http://schemas.openxmlformats.org/officeDocument/2006/relationships/hyperlink" Target="https://drive.google.com/open?id=1ivSdSqNrCffgE4vFk8MeTOG47ZxEintj" TargetMode="External"/><Relationship Id="rId16" Type="http://schemas.openxmlformats.org/officeDocument/2006/relationships/hyperlink" Target="https://drive.google.com/open?id=16wh8nXXdNymojQGeHA9FzUveXRm6iDuz" TargetMode="External"/><Relationship Id="rId5" Type="http://schemas.openxmlformats.org/officeDocument/2006/relationships/hyperlink" Target="https://docs.google.com/document/d/1k6F9Yziyf-tgSucDl1A48ukCExYQmWta9qIJ9lhGTV0/edit?usp=sharing" TargetMode="External"/><Relationship Id="rId19" Type="http://schemas.openxmlformats.org/officeDocument/2006/relationships/hyperlink" Target="https://drive.google.com/open?id=1-QJeJmnDaZ0Bp-fJ1RwVQZKerfmMlg_U" TargetMode="External"/><Relationship Id="rId6" Type="http://schemas.openxmlformats.org/officeDocument/2006/relationships/hyperlink" Target="https://drive.google.com/open?id=115Rro8AXGRJ3NCZWglx6rvhXDB8VJZf3" TargetMode="External"/><Relationship Id="rId18" Type="http://schemas.openxmlformats.org/officeDocument/2006/relationships/hyperlink" Target="https://drive.google.com/open?id=11WrHRxoM1fZ3IOWxfrCKRxFfo2Rc_Q7X" TargetMode="External"/><Relationship Id="rId7" Type="http://schemas.openxmlformats.org/officeDocument/2006/relationships/hyperlink" Target="https://drive.google.com/open?id=18mzcxXI8fs9KyxYtAga3w7hQxM63na4t" TargetMode="External"/><Relationship Id="rId8" Type="http://schemas.openxmlformats.org/officeDocument/2006/relationships/hyperlink" Target="https://drive.google.com/open?id=1g2s5y6pDyjoAYzH_PztByMZaWmXVGLq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13.63"/>
    <col customWidth="1" min="2" max="2" width="9.13"/>
    <col customWidth="1" min="3" max="3" width="20.75"/>
    <col customWidth="1" min="4" max="4" width="21.25"/>
    <col customWidth="1" min="5" max="5" width="9.38"/>
    <col customWidth="1" min="6" max="6" width="24.5"/>
    <col customWidth="1" min="7" max="7" width="29.75"/>
    <col customWidth="1" min="8" max="8" width="15.13"/>
    <col customWidth="1" min="9" max="9" width="12.0"/>
    <col customWidth="1" min="10" max="10" width="19.63"/>
    <col customWidth="1" min="11" max="11" width="23.25"/>
    <col customWidth="1" min="12" max="12" width="12.38"/>
    <col customWidth="1" min="13" max="13" width="13.38"/>
    <col customWidth="1" min="14" max="14" width="8.5"/>
    <col customWidth="1" min="15" max="15" width="10.13"/>
    <col customWidth="1" min="16" max="16" width="2.0"/>
    <col customWidth="1" min="17" max="21" width="12.0"/>
    <col customWidth="1" hidden="1" min="22" max="32" width="12.0"/>
  </cols>
  <sheetData>
    <row r="1">
      <c r="A1" s="5" t="s">
        <v>0</v>
      </c>
      <c r="B1" s="6" t="s">
        <v>1</v>
      </c>
      <c r="C1" s="6" t="s">
        <v>2</v>
      </c>
      <c r="D1" s="7" t="s">
        <v>14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15</v>
      </c>
      <c r="J1" s="6" t="s">
        <v>16</v>
      </c>
      <c r="K1" s="6" t="s">
        <v>17</v>
      </c>
      <c r="L1" s="6" t="s">
        <v>8</v>
      </c>
      <c r="M1" s="6" t="s">
        <v>9</v>
      </c>
      <c r="N1" s="6" t="s">
        <v>10</v>
      </c>
      <c r="O1" s="6" t="str">
        <f>"Discord "&amp;(COUNTIF(O2:O25,true)+1)</f>
        <v>Discord 9</v>
      </c>
      <c r="P1" s="13"/>
      <c r="Q1" s="18" t="s">
        <v>23</v>
      </c>
      <c r="R1" s="18" t="s">
        <v>28</v>
      </c>
      <c r="S1" s="20" t="s">
        <v>35</v>
      </c>
      <c r="T1" s="20" t="s">
        <v>40</v>
      </c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2"/>
    </row>
    <row r="2">
      <c r="A2" s="23" t="s">
        <v>53</v>
      </c>
      <c r="B2" s="23" t="s">
        <v>54</v>
      </c>
      <c r="C2" s="23" t="str">
        <f t="shared" ref="C2:C25" si="1">A2&amp;" "&amp;B2</f>
        <v>Madiha Neifar</v>
      </c>
      <c r="D2" s="24"/>
      <c r="E2" s="25"/>
      <c r="F2" s="23" t="s">
        <v>60</v>
      </c>
      <c r="G2" s="23" t="s">
        <v>19</v>
      </c>
      <c r="H2" s="25"/>
      <c r="I2" s="23" t="s">
        <v>61</v>
      </c>
      <c r="J2" s="23" t="s">
        <v>65</v>
      </c>
      <c r="K2" s="23"/>
      <c r="L2" s="28"/>
      <c r="M2" s="28"/>
      <c r="N2" s="29" t="b">
        <v>1</v>
      </c>
      <c r="O2" s="30" t="b">
        <v>0</v>
      </c>
      <c r="P2" s="31"/>
      <c r="Q2" s="32" t="s">
        <v>78</v>
      </c>
      <c r="R2" s="32" t="s">
        <v>78</v>
      </c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</row>
    <row r="3">
      <c r="A3" s="34" t="s">
        <v>82</v>
      </c>
      <c r="B3" s="34" t="s">
        <v>85</v>
      </c>
      <c r="C3" s="34" t="str">
        <f t="shared" si="1"/>
        <v>Khalil Masmoudi</v>
      </c>
      <c r="D3" s="35"/>
      <c r="E3" s="36"/>
      <c r="F3" s="34" t="s">
        <v>89</v>
      </c>
      <c r="G3" s="34" t="s">
        <v>32</v>
      </c>
      <c r="H3" s="36">
        <v>2.88141E7</v>
      </c>
      <c r="I3" s="34" t="s">
        <v>90</v>
      </c>
      <c r="J3" s="34" t="s">
        <v>65</v>
      </c>
      <c r="K3" s="34"/>
      <c r="L3" s="37" t="s">
        <v>27</v>
      </c>
      <c r="M3" s="37" t="s">
        <v>27</v>
      </c>
      <c r="N3" s="38" t="b">
        <v>1</v>
      </c>
      <c r="O3" s="38" t="b">
        <v>0</v>
      </c>
      <c r="P3" s="39"/>
      <c r="Q3" s="40" t="s">
        <v>95</v>
      </c>
      <c r="R3" s="40" t="s">
        <v>78</v>
      </c>
      <c r="S3" s="40" t="s">
        <v>95</v>
      </c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</row>
    <row r="4">
      <c r="A4" s="34" t="s">
        <v>97</v>
      </c>
      <c r="B4" s="34" t="s">
        <v>98</v>
      </c>
      <c r="C4" s="34" t="str">
        <f t="shared" si="1"/>
        <v>Ranim Damak</v>
      </c>
      <c r="D4" s="34"/>
      <c r="E4" s="36"/>
      <c r="F4" s="34" t="s">
        <v>99</v>
      </c>
      <c r="G4" s="34" t="s">
        <v>32</v>
      </c>
      <c r="H4" s="36">
        <v>5.8051529E7</v>
      </c>
      <c r="I4" s="34" t="s">
        <v>100</v>
      </c>
      <c r="J4" s="34" t="s">
        <v>65</v>
      </c>
      <c r="K4" s="34"/>
      <c r="L4" s="37" t="s">
        <v>27</v>
      </c>
      <c r="M4" s="37" t="s">
        <v>34</v>
      </c>
      <c r="N4" s="38" t="b">
        <v>1</v>
      </c>
      <c r="O4" s="38" t="b">
        <v>0</v>
      </c>
      <c r="P4" s="39"/>
      <c r="Q4" s="40" t="s">
        <v>95</v>
      </c>
      <c r="R4" s="40" t="s">
        <v>95</v>
      </c>
      <c r="S4" s="40" t="s">
        <v>95</v>
      </c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</row>
    <row r="5">
      <c r="A5" s="34" t="s">
        <v>105</v>
      </c>
      <c r="B5" s="34" t="s">
        <v>106</v>
      </c>
      <c r="C5" s="34" t="str">
        <f t="shared" si="1"/>
        <v>Oumayma Masmoudy</v>
      </c>
      <c r="D5" s="35"/>
      <c r="E5" s="36"/>
      <c r="F5" s="34" t="s">
        <v>107</v>
      </c>
      <c r="G5" s="34"/>
      <c r="H5" s="36"/>
      <c r="I5" s="34" t="s">
        <v>109</v>
      </c>
      <c r="J5" s="34" t="s">
        <v>65</v>
      </c>
      <c r="K5" s="34"/>
      <c r="L5" s="37" t="s">
        <v>27</v>
      </c>
      <c r="M5" s="37" t="s">
        <v>34</v>
      </c>
      <c r="N5" s="38" t="b">
        <v>1</v>
      </c>
      <c r="O5" s="38" t="b">
        <v>0</v>
      </c>
      <c r="P5" s="39"/>
      <c r="Q5" s="40" t="s">
        <v>95</v>
      </c>
      <c r="R5" s="40" t="s">
        <v>78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</row>
    <row r="6">
      <c r="A6" s="34" t="s">
        <v>113</v>
      </c>
      <c r="B6" s="34" t="s">
        <v>115</v>
      </c>
      <c r="C6" s="34" t="str">
        <f t="shared" si="1"/>
        <v>Nadine Jellali</v>
      </c>
      <c r="D6" s="35"/>
      <c r="E6" s="36">
        <v>9.8668297E7</v>
      </c>
      <c r="F6" s="34" t="s">
        <v>117</v>
      </c>
      <c r="G6" s="34" t="s">
        <v>32</v>
      </c>
      <c r="H6" s="36">
        <v>2.9844774E7</v>
      </c>
      <c r="I6" s="34" t="s">
        <v>119</v>
      </c>
      <c r="J6" s="34" t="s">
        <v>65</v>
      </c>
      <c r="K6" s="34"/>
      <c r="L6" s="37" t="s">
        <v>27</v>
      </c>
      <c r="M6" s="37" t="s">
        <v>27</v>
      </c>
      <c r="N6" s="38" t="b">
        <v>1</v>
      </c>
      <c r="O6" s="38" t="b">
        <v>1</v>
      </c>
      <c r="P6" s="39"/>
      <c r="Q6" s="40" t="s">
        <v>95</v>
      </c>
      <c r="R6" s="40" t="s">
        <v>78</v>
      </c>
      <c r="S6" s="40" t="s">
        <v>95</v>
      </c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</row>
    <row r="7">
      <c r="A7" s="34" t="s">
        <v>124</v>
      </c>
      <c r="B7" s="34" t="s">
        <v>125</v>
      </c>
      <c r="C7" s="34" t="str">
        <f t="shared" si="1"/>
        <v>Mohamed Ali Krichen</v>
      </c>
      <c r="D7" s="35"/>
      <c r="E7" s="36"/>
      <c r="F7" s="34" t="s">
        <v>127</v>
      </c>
      <c r="G7" s="34" t="s">
        <v>32</v>
      </c>
      <c r="H7" s="36">
        <v>5.5074545E7</v>
      </c>
      <c r="I7" s="34" t="s">
        <v>128</v>
      </c>
      <c r="J7" s="34" t="s">
        <v>65</v>
      </c>
      <c r="K7" s="34"/>
      <c r="L7" s="37" t="s">
        <v>27</v>
      </c>
      <c r="M7" s="37" t="s">
        <v>34</v>
      </c>
      <c r="N7" s="38" t="b">
        <v>1</v>
      </c>
      <c r="O7" s="38" t="b">
        <v>0</v>
      </c>
      <c r="P7" s="39"/>
      <c r="Q7" s="40" t="s">
        <v>78</v>
      </c>
      <c r="R7" s="40" t="s">
        <v>78</v>
      </c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</row>
    <row r="8">
      <c r="A8" s="34" t="s">
        <v>132</v>
      </c>
      <c r="B8" s="34" t="s">
        <v>133</v>
      </c>
      <c r="C8" s="34" t="str">
        <f t="shared" si="1"/>
        <v>Iskandar Ghorbel</v>
      </c>
      <c r="D8" s="35"/>
      <c r="E8" s="36"/>
      <c r="F8" s="34" t="s">
        <v>134</v>
      </c>
      <c r="G8" s="34" t="s">
        <v>19</v>
      </c>
      <c r="H8" s="36"/>
      <c r="I8" s="34" t="s">
        <v>137</v>
      </c>
      <c r="J8" s="34" t="s">
        <v>65</v>
      </c>
      <c r="K8" s="34"/>
      <c r="L8" s="42"/>
      <c r="M8" s="42"/>
      <c r="N8" s="38" t="b">
        <v>1</v>
      </c>
      <c r="O8" s="43" t="b">
        <v>0</v>
      </c>
      <c r="P8" s="39"/>
      <c r="Q8" s="40" t="s">
        <v>95</v>
      </c>
      <c r="R8" s="40" t="s">
        <v>78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</row>
    <row r="9">
      <c r="A9" s="34" t="s">
        <v>144</v>
      </c>
      <c r="B9" s="34" t="s">
        <v>145</v>
      </c>
      <c r="C9" s="34" t="str">
        <f t="shared" si="1"/>
        <v>Yosr Jabloun</v>
      </c>
      <c r="D9" s="44" t="s">
        <v>148</v>
      </c>
      <c r="E9" s="36">
        <v>1.00613355E8</v>
      </c>
      <c r="F9" s="34" t="s">
        <v>154</v>
      </c>
      <c r="G9" s="34" t="s">
        <v>32</v>
      </c>
      <c r="H9" s="36">
        <v>2.946914E7</v>
      </c>
      <c r="I9" s="34" t="s">
        <v>61</v>
      </c>
      <c r="J9" s="34" t="s">
        <v>155</v>
      </c>
      <c r="K9" s="34"/>
      <c r="L9" s="42" t="s">
        <v>110</v>
      </c>
      <c r="M9" s="42" t="s">
        <v>34</v>
      </c>
      <c r="N9" s="38" t="b">
        <v>1</v>
      </c>
      <c r="O9" s="38" t="b">
        <v>1</v>
      </c>
      <c r="P9" s="45"/>
      <c r="Q9" s="46" t="s">
        <v>95</v>
      </c>
      <c r="R9" s="46" t="s">
        <v>78</v>
      </c>
      <c r="S9" s="47"/>
      <c r="T9" s="48" t="s">
        <v>95</v>
      </c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</row>
    <row r="10">
      <c r="A10" s="34" t="s">
        <v>156</v>
      </c>
      <c r="B10" s="34" t="s">
        <v>157</v>
      </c>
      <c r="C10" s="34" t="str">
        <f t="shared" si="1"/>
        <v>Malek Fakhfakh</v>
      </c>
      <c r="D10" s="44" t="s">
        <v>158</v>
      </c>
      <c r="E10" s="36">
        <v>9.7609113E7</v>
      </c>
      <c r="F10" s="34" t="s">
        <v>159</v>
      </c>
      <c r="G10" s="34" t="s">
        <v>32</v>
      </c>
      <c r="H10" s="36">
        <v>9.2115426E7</v>
      </c>
      <c r="I10" s="34" t="s">
        <v>19</v>
      </c>
      <c r="J10" s="34" t="s">
        <v>155</v>
      </c>
      <c r="K10" s="34" t="s">
        <v>160</v>
      </c>
      <c r="L10" s="34" t="s">
        <v>34</v>
      </c>
      <c r="M10" s="34" t="s">
        <v>34</v>
      </c>
      <c r="N10" s="36" t="b">
        <v>1</v>
      </c>
      <c r="O10" s="36" t="b">
        <v>1</v>
      </c>
      <c r="P10" s="45"/>
      <c r="Q10" s="46" t="s">
        <v>95</v>
      </c>
      <c r="R10" s="46" t="s">
        <v>95</v>
      </c>
      <c r="S10" s="46" t="s">
        <v>95</v>
      </c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</row>
    <row r="11">
      <c r="A11" s="34" t="s">
        <v>161</v>
      </c>
      <c r="B11" s="34" t="s">
        <v>162</v>
      </c>
      <c r="C11" s="34" t="str">
        <f t="shared" si="1"/>
        <v>Yassine Soussi</v>
      </c>
      <c r="D11" s="44" t="s">
        <v>163</v>
      </c>
      <c r="E11" s="36">
        <v>9.8641903E7</v>
      </c>
      <c r="F11" s="34" t="s">
        <v>164</v>
      </c>
      <c r="G11" s="34" t="s">
        <v>32</v>
      </c>
      <c r="H11" s="36">
        <v>2.8390436E7</v>
      </c>
      <c r="I11" s="34" t="s">
        <v>19</v>
      </c>
      <c r="J11" s="34" t="s">
        <v>155</v>
      </c>
      <c r="K11" s="34"/>
      <c r="L11" s="49" t="s">
        <v>34</v>
      </c>
      <c r="M11" s="49" t="s">
        <v>34</v>
      </c>
      <c r="N11" s="50" t="b">
        <v>1</v>
      </c>
      <c r="O11" s="50" t="b">
        <v>0</v>
      </c>
      <c r="P11" s="45"/>
      <c r="Q11" s="51" t="s">
        <v>95</v>
      </c>
      <c r="R11" s="51" t="s">
        <v>78</v>
      </c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</row>
    <row r="12">
      <c r="A12" s="34" t="s">
        <v>165</v>
      </c>
      <c r="B12" s="34" t="s">
        <v>166</v>
      </c>
      <c r="C12" s="34" t="str">
        <f t="shared" si="1"/>
        <v>Dorsaf Jallouli</v>
      </c>
      <c r="D12" s="44" t="s">
        <v>167</v>
      </c>
      <c r="E12" s="36">
        <v>9.9644628E7</v>
      </c>
      <c r="F12" s="34" t="s">
        <v>168</v>
      </c>
      <c r="G12" s="52" t="s">
        <v>87</v>
      </c>
      <c r="H12" s="36">
        <v>2.3654922E7</v>
      </c>
      <c r="I12" s="34" t="s">
        <v>19</v>
      </c>
      <c r="J12" s="34" t="s">
        <v>155</v>
      </c>
      <c r="K12" s="34"/>
      <c r="L12" s="34" t="s">
        <v>27</v>
      </c>
      <c r="M12" s="34" t="s">
        <v>27</v>
      </c>
      <c r="N12" s="36" t="b">
        <v>1</v>
      </c>
      <c r="O12" s="36" t="b">
        <v>0</v>
      </c>
      <c r="P12" s="45"/>
      <c r="Q12" s="46" t="s">
        <v>95</v>
      </c>
      <c r="R12" s="46" t="s">
        <v>78</v>
      </c>
      <c r="S12" s="46" t="s">
        <v>95</v>
      </c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</row>
    <row r="13">
      <c r="A13" s="34" t="s">
        <v>169</v>
      </c>
      <c r="B13" s="34" t="s">
        <v>170</v>
      </c>
      <c r="C13" s="34" t="str">
        <f t="shared" si="1"/>
        <v>Rahma Benslema</v>
      </c>
      <c r="D13" s="44" t="s">
        <v>171</v>
      </c>
      <c r="E13" s="36">
        <v>9.960372E7</v>
      </c>
      <c r="F13" s="34" t="s">
        <v>172</v>
      </c>
      <c r="G13" s="52" t="s">
        <v>87</v>
      </c>
      <c r="H13" s="36">
        <v>9.9787138E7</v>
      </c>
      <c r="I13" s="34" t="s">
        <v>61</v>
      </c>
      <c r="J13" s="34" t="s">
        <v>173</v>
      </c>
      <c r="K13" s="34"/>
      <c r="L13" s="34" t="s">
        <v>27</v>
      </c>
      <c r="M13" s="34" t="s">
        <v>27</v>
      </c>
      <c r="N13" s="36" t="b">
        <v>1</v>
      </c>
      <c r="O13" s="36" t="b">
        <v>1</v>
      </c>
      <c r="P13" s="45"/>
      <c r="Q13" s="46" t="s">
        <v>95</v>
      </c>
      <c r="R13" s="46" t="s">
        <v>78</v>
      </c>
      <c r="S13" s="46" t="s">
        <v>95</v>
      </c>
      <c r="T13" s="53" t="s">
        <v>95</v>
      </c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</row>
    <row r="14">
      <c r="A14" s="34" t="s">
        <v>174</v>
      </c>
      <c r="B14" s="34" t="s">
        <v>175</v>
      </c>
      <c r="C14" s="34" t="str">
        <f t="shared" si="1"/>
        <v>Lina Labidi</v>
      </c>
      <c r="D14" s="44" t="s">
        <v>176</v>
      </c>
      <c r="E14" s="36">
        <v>9.8050893E7</v>
      </c>
      <c r="F14" s="34" t="s">
        <v>177</v>
      </c>
      <c r="G14" s="34" t="s">
        <v>32</v>
      </c>
      <c r="H14" s="36">
        <v>9.3686644E7</v>
      </c>
      <c r="I14" s="34" t="s">
        <v>19</v>
      </c>
      <c r="J14" s="34" t="s">
        <v>173</v>
      </c>
      <c r="K14" s="34"/>
      <c r="L14" s="34" t="s">
        <v>49</v>
      </c>
      <c r="M14" s="34" t="s">
        <v>49</v>
      </c>
      <c r="N14" s="36" t="b">
        <v>1</v>
      </c>
      <c r="O14" s="36" t="b">
        <v>0</v>
      </c>
      <c r="P14" s="45"/>
      <c r="Q14" s="46" t="s">
        <v>78</v>
      </c>
      <c r="R14" s="46" t="s">
        <v>78</v>
      </c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</row>
    <row r="15">
      <c r="A15" s="34" t="s">
        <v>178</v>
      </c>
      <c r="B15" s="34" t="s">
        <v>179</v>
      </c>
      <c r="C15" s="34" t="str">
        <f t="shared" si="1"/>
        <v>Mohamed Amine Ben Helal</v>
      </c>
      <c r="D15" s="44" t="s">
        <v>180</v>
      </c>
      <c r="E15" s="36">
        <v>9.8032507E7</v>
      </c>
      <c r="F15" s="34" t="s">
        <v>181</v>
      </c>
      <c r="G15" s="34" t="s">
        <v>32</v>
      </c>
      <c r="H15" s="36">
        <v>5.0444527E7</v>
      </c>
      <c r="I15" s="34" t="s">
        <v>19</v>
      </c>
      <c r="J15" s="34" t="s">
        <v>173</v>
      </c>
      <c r="K15" s="34"/>
      <c r="L15" s="34" t="s">
        <v>56</v>
      </c>
      <c r="M15" s="34" t="s">
        <v>56</v>
      </c>
      <c r="N15" s="36" t="b">
        <v>1</v>
      </c>
      <c r="O15" s="36" t="b">
        <v>0</v>
      </c>
      <c r="P15" s="45"/>
      <c r="Q15" s="46" t="s">
        <v>95</v>
      </c>
      <c r="R15" s="46" t="s">
        <v>78</v>
      </c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</row>
    <row r="16">
      <c r="A16" s="34" t="s">
        <v>182</v>
      </c>
      <c r="B16" s="34" t="s">
        <v>183</v>
      </c>
      <c r="C16" s="34" t="str">
        <f t="shared" si="1"/>
        <v>Aya Chokri</v>
      </c>
      <c r="D16" s="44" t="s">
        <v>184</v>
      </c>
      <c r="E16" s="36">
        <v>1.0056327E8</v>
      </c>
      <c r="F16" s="34" t="s">
        <v>185</v>
      </c>
      <c r="G16" s="52" t="s">
        <v>87</v>
      </c>
      <c r="H16" s="36">
        <v>5.0088435E7</v>
      </c>
      <c r="I16" s="34" t="s">
        <v>19</v>
      </c>
      <c r="J16" s="34" t="s">
        <v>173</v>
      </c>
      <c r="K16" s="34"/>
      <c r="L16" s="34" t="s">
        <v>48</v>
      </c>
      <c r="M16" s="34" t="s">
        <v>49</v>
      </c>
      <c r="N16" s="36" t="b">
        <v>1</v>
      </c>
      <c r="O16" s="36" t="b">
        <v>1</v>
      </c>
      <c r="P16" s="45"/>
      <c r="Q16" s="46" t="s">
        <v>95</v>
      </c>
      <c r="R16" s="46" t="s">
        <v>95</v>
      </c>
      <c r="S16" s="46" t="s">
        <v>95</v>
      </c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</row>
    <row r="17">
      <c r="A17" s="34" t="s">
        <v>186</v>
      </c>
      <c r="B17" s="34" t="s">
        <v>187</v>
      </c>
      <c r="C17" s="34" t="str">
        <f t="shared" si="1"/>
        <v>Adam Lassidi</v>
      </c>
      <c r="D17" s="44" t="s">
        <v>188</v>
      </c>
      <c r="E17" s="36">
        <v>9.8679854E7</v>
      </c>
      <c r="F17" s="34" t="s">
        <v>189</v>
      </c>
      <c r="G17" s="34" t="s">
        <v>19</v>
      </c>
      <c r="H17" s="36">
        <v>9.81535E7</v>
      </c>
      <c r="I17" s="34" t="s">
        <v>61</v>
      </c>
      <c r="J17" s="34" t="s">
        <v>190</v>
      </c>
      <c r="K17" s="34"/>
      <c r="L17" s="34" t="s">
        <v>191</v>
      </c>
      <c r="M17" s="34" t="s">
        <v>49</v>
      </c>
      <c r="N17" s="36" t="b">
        <v>1</v>
      </c>
      <c r="O17" s="36" t="b">
        <v>0</v>
      </c>
      <c r="P17" s="45"/>
      <c r="Q17" s="46" t="s">
        <v>95</v>
      </c>
      <c r="R17" s="46" t="s">
        <v>95</v>
      </c>
      <c r="S17" s="46" t="s">
        <v>95</v>
      </c>
      <c r="T17" s="53" t="s">
        <v>95</v>
      </c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</row>
    <row r="18">
      <c r="A18" s="34" t="s">
        <v>192</v>
      </c>
      <c r="B18" s="34" t="s">
        <v>193</v>
      </c>
      <c r="C18" s="34" t="str">
        <f t="shared" si="1"/>
        <v>Amir Zouenkhi</v>
      </c>
      <c r="D18" s="44" t="s">
        <v>194</v>
      </c>
      <c r="E18" s="36">
        <v>9.8065153E7</v>
      </c>
      <c r="F18" s="34" t="s">
        <v>195</v>
      </c>
      <c r="G18" s="34" t="s">
        <v>32</v>
      </c>
      <c r="H18" s="36">
        <v>2.1583353E7</v>
      </c>
      <c r="I18" s="34" t="s">
        <v>19</v>
      </c>
      <c r="J18" s="34" t="s">
        <v>190</v>
      </c>
      <c r="K18" s="34"/>
      <c r="L18" s="34" t="s">
        <v>140</v>
      </c>
      <c r="M18" s="34" t="s">
        <v>49</v>
      </c>
      <c r="N18" s="36" t="b">
        <v>1</v>
      </c>
      <c r="O18" s="36" t="b">
        <v>1</v>
      </c>
      <c r="P18" s="45"/>
      <c r="Q18" s="46" t="s">
        <v>95</v>
      </c>
      <c r="R18" s="46" t="s">
        <v>78</v>
      </c>
      <c r="S18" s="46" t="s">
        <v>95</v>
      </c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</row>
    <row r="19">
      <c r="A19" s="34" t="s">
        <v>196</v>
      </c>
      <c r="B19" s="34" t="s">
        <v>197</v>
      </c>
      <c r="C19" s="34" t="str">
        <f t="shared" si="1"/>
        <v>Helmi Bouhlel</v>
      </c>
      <c r="D19" s="44" t="s">
        <v>198</v>
      </c>
      <c r="E19" s="36">
        <v>9.9637807E7</v>
      </c>
      <c r="F19" s="34" t="s">
        <v>199</v>
      </c>
      <c r="G19" s="52" t="s">
        <v>87</v>
      </c>
      <c r="H19" s="36">
        <v>5.5432789E7</v>
      </c>
      <c r="I19" s="34" t="s">
        <v>19</v>
      </c>
      <c r="J19" s="34" t="s">
        <v>190</v>
      </c>
      <c r="K19" s="34"/>
      <c r="L19" s="34" t="s">
        <v>27</v>
      </c>
      <c r="M19" s="34" t="s">
        <v>49</v>
      </c>
      <c r="N19" s="36" t="b">
        <v>1</v>
      </c>
      <c r="O19" s="36" t="b">
        <v>0</v>
      </c>
      <c r="P19" s="45"/>
      <c r="Q19" s="46" t="s">
        <v>95</v>
      </c>
      <c r="R19" s="46" t="s">
        <v>78</v>
      </c>
      <c r="S19" s="46" t="s">
        <v>95</v>
      </c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</row>
    <row r="20">
      <c r="A20" s="34" t="s">
        <v>200</v>
      </c>
      <c r="B20" s="34" t="s">
        <v>201</v>
      </c>
      <c r="C20" s="34" t="str">
        <f t="shared" si="1"/>
        <v>Maryem Yousfi</v>
      </c>
      <c r="D20" s="44" t="s">
        <v>202</v>
      </c>
      <c r="E20" s="36">
        <v>1.00794149E8</v>
      </c>
      <c r="F20" s="34" t="s">
        <v>203</v>
      </c>
      <c r="G20" s="52" t="s">
        <v>87</v>
      </c>
      <c r="H20" s="36">
        <v>2.9223337E7</v>
      </c>
      <c r="I20" s="34" t="s">
        <v>19</v>
      </c>
      <c r="J20" s="34" t="s">
        <v>190</v>
      </c>
      <c r="K20" s="34"/>
      <c r="L20" s="34" t="s">
        <v>27</v>
      </c>
      <c r="M20" s="34" t="s">
        <v>34</v>
      </c>
      <c r="N20" s="36" t="b">
        <v>1</v>
      </c>
      <c r="O20" s="36" t="b">
        <v>1</v>
      </c>
      <c r="P20" s="45"/>
      <c r="Q20" s="46" t="s">
        <v>95</v>
      </c>
      <c r="R20" s="46" t="s">
        <v>95</v>
      </c>
      <c r="S20" s="46" t="s">
        <v>95</v>
      </c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</row>
    <row r="21">
      <c r="A21" s="34" t="s">
        <v>204</v>
      </c>
      <c r="B21" s="34" t="s">
        <v>205</v>
      </c>
      <c r="C21" s="34" t="str">
        <f t="shared" si="1"/>
        <v>Omar Guettat</v>
      </c>
      <c r="D21" s="44" t="s">
        <v>206</v>
      </c>
      <c r="E21" s="36">
        <v>9.9616744E7</v>
      </c>
      <c r="F21" s="34" t="s">
        <v>207</v>
      </c>
      <c r="G21" s="52" t="s">
        <v>87</v>
      </c>
      <c r="H21" s="36">
        <v>2.5071902E7</v>
      </c>
      <c r="I21" s="34" t="s">
        <v>19</v>
      </c>
      <c r="J21" s="34" t="s">
        <v>190</v>
      </c>
      <c r="K21" s="34"/>
      <c r="L21" s="34" t="s">
        <v>27</v>
      </c>
      <c r="M21" s="34" t="s">
        <v>27</v>
      </c>
      <c r="N21" s="36" t="b">
        <v>1</v>
      </c>
      <c r="O21" s="36" t="b">
        <v>0</v>
      </c>
      <c r="P21" s="45"/>
      <c r="Q21" s="46" t="s">
        <v>95</v>
      </c>
      <c r="R21" s="46" t="s">
        <v>78</v>
      </c>
      <c r="S21" s="46" t="s">
        <v>95</v>
      </c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</row>
    <row r="22">
      <c r="A22" s="34" t="s">
        <v>114</v>
      </c>
      <c r="B22" s="34" t="s">
        <v>208</v>
      </c>
      <c r="C22" s="34" t="str">
        <f t="shared" si="1"/>
        <v>Eya Ayadi</v>
      </c>
      <c r="D22" s="44" t="s">
        <v>209</v>
      </c>
      <c r="E22" s="36">
        <v>9.9607734E7</v>
      </c>
      <c r="F22" s="34" t="s">
        <v>210</v>
      </c>
      <c r="G22" s="52" t="s">
        <v>87</v>
      </c>
      <c r="H22" s="36">
        <v>5.326299E7</v>
      </c>
      <c r="I22" s="34" t="s">
        <v>61</v>
      </c>
      <c r="J22" s="34" t="s">
        <v>211</v>
      </c>
      <c r="K22" s="34"/>
      <c r="L22" s="34" t="s">
        <v>27</v>
      </c>
      <c r="M22" s="34" t="s">
        <v>34</v>
      </c>
      <c r="N22" s="36" t="b">
        <v>0</v>
      </c>
      <c r="O22" s="36" t="b">
        <v>0</v>
      </c>
      <c r="P22" s="45"/>
      <c r="Q22" s="46" t="s">
        <v>95</v>
      </c>
      <c r="R22" s="46" t="s">
        <v>78</v>
      </c>
      <c r="S22" s="46" t="s">
        <v>95</v>
      </c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</row>
    <row r="23">
      <c r="A23" s="34" t="s">
        <v>212</v>
      </c>
      <c r="B23" s="34" t="s">
        <v>213</v>
      </c>
      <c r="C23" s="34" t="str">
        <f t="shared" si="1"/>
        <v>Mohamed Aziz Miladi</v>
      </c>
      <c r="D23" s="35"/>
      <c r="E23" s="36">
        <v>9.9715909E7</v>
      </c>
      <c r="F23" s="34" t="s">
        <v>214</v>
      </c>
      <c r="G23" s="52" t="s">
        <v>87</v>
      </c>
      <c r="H23" s="36">
        <v>5.0744103E7</v>
      </c>
      <c r="I23" s="34" t="s">
        <v>19</v>
      </c>
      <c r="J23" s="34" t="s">
        <v>211</v>
      </c>
      <c r="K23" s="34"/>
      <c r="L23" s="34" t="s">
        <v>27</v>
      </c>
      <c r="M23" s="34" t="s">
        <v>49</v>
      </c>
      <c r="N23" s="36" t="b">
        <v>1</v>
      </c>
      <c r="O23" s="36" t="b">
        <v>1</v>
      </c>
      <c r="P23" s="45"/>
      <c r="Q23" s="46" t="s">
        <v>95</v>
      </c>
      <c r="R23" s="46" t="s">
        <v>78</v>
      </c>
      <c r="S23" s="46" t="s">
        <v>95</v>
      </c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</row>
    <row r="24">
      <c r="A24" s="34" t="s">
        <v>82</v>
      </c>
      <c r="B24" s="34" t="s">
        <v>205</v>
      </c>
      <c r="C24" s="34" t="str">
        <f t="shared" si="1"/>
        <v>Khalil Guettat</v>
      </c>
      <c r="D24" s="35"/>
      <c r="E24" s="36">
        <v>9.8740331E7</v>
      </c>
      <c r="F24" s="34" t="s">
        <v>215</v>
      </c>
      <c r="G24" s="52" t="s">
        <v>87</v>
      </c>
      <c r="H24" s="36">
        <v>5.03533E7</v>
      </c>
      <c r="I24" s="34" t="s">
        <v>19</v>
      </c>
      <c r="J24" s="34" t="s">
        <v>211</v>
      </c>
      <c r="K24" s="34"/>
      <c r="L24" s="34" t="s">
        <v>27</v>
      </c>
      <c r="M24" s="34" t="s">
        <v>34</v>
      </c>
      <c r="N24" s="36" t="b">
        <v>1</v>
      </c>
      <c r="O24" s="36" t="b">
        <v>0</v>
      </c>
      <c r="P24" s="45"/>
      <c r="Q24" s="46" t="s">
        <v>95</v>
      </c>
      <c r="R24" s="46" t="s">
        <v>95</v>
      </c>
      <c r="S24" s="46" t="s">
        <v>95</v>
      </c>
      <c r="T24" s="46" t="s">
        <v>95</v>
      </c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</row>
    <row r="25">
      <c r="A25" s="34" t="s">
        <v>129</v>
      </c>
      <c r="B25" s="34" t="s">
        <v>216</v>
      </c>
      <c r="C25" s="34" t="str">
        <f t="shared" si="1"/>
        <v>Yasmine Frikha</v>
      </c>
      <c r="D25" s="35"/>
      <c r="E25" s="54">
        <v>9.9625917E7</v>
      </c>
      <c r="F25" s="34" t="s">
        <v>217</v>
      </c>
      <c r="G25" s="52" t="s">
        <v>87</v>
      </c>
      <c r="H25" s="54">
        <v>9.6315615E7</v>
      </c>
      <c r="I25" s="34" t="s">
        <v>61</v>
      </c>
      <c r="J25" s="34" t="s">
        <v>218</v>
      </c>
      <c r="K25" s="34"/>
      <c r="L25" s="34" t="s">
        <v>27</v>
      </c>
      <c r="M25" s="34" t="s">
        <v>34</v>
      </c>
      <c r="N25" s="36" t="b">
        <v>0</v>
      </c>
      <c r="O25" s="36" t="b">
        <v>0</v>
      </c>
      <c r="P25" s="45"/>
      <c r="Q25" s="46" t="s">
        <v>95</v>
      </c>
      <c r="R25" s="46" t="s">
        <v>78</v>
      </c>
      <c r="S25" s="46" t="s">
        <v>95</v>
      </c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</row>
  </sheetData>
  <conditionalFormatting sqref="A1:O1 P1:P25 Q1:AF1">
    <cfRule type="expression" dxfId="3" priority="1">
      <formula>1</formula>
    </cfRule>
  </conditionalFormatting>
  <conditionalFormatting sqref="A1:P25">
    <cfRule type="containsBlanks" dxfId="4" priority="2">
      <formula>LEN(TRIM(A1))=0</formula>
    </cfRule>
  </conditionalFormatting>
  <conditionalFormatting sqref="Q1:AF25">
    <cfRule type="containsBlanks" dxfId="5" priority="3">
      <formula>LEN(TRIM(Q1))=0</formula>
    </cfRule>
  </conditionalFormatting>
  <dataValidations>
    <dataValidation type="list" allowBlank="1" showErrorMessage="1" sqref="Q2:R2 Q3:S4 Q5:R5 Q6:S6 U2:AF8 Q7:R9 T9:AF9 Q10:S10 Q11:R11 Q12:S12 U10:AF12 Q13:AF13 Q14:R15 Q16:S16 U14:AF16 Q17:AF17 Q18:S23 U18:AF23 Q24:AF24 Q25:S25 U25:AF25">
      <formula1>"P,A"</formula1>
    </dataValidation>
    <dataValidation type="list" allowBlank="1" showErrorMessage="1" sqref="L2:M25">
      <formula1>"Ariana,Bizerte,Gabes,Monastir,Nabeul,Sfax,Siliana,Tunis"</formula1>
    </dataValidation>
    <dataValidation type="list" allowBlank="1" showErrorMessage="1" sqref="I9:I25">
      <formula1>"Chair,Member"</formula1>
    </dataValidation>
    <dataValidation type="list" allowBlank="1" showErrorMessage="1" sqref="J2:J25">
      <formula1>"Marketing,Logistics,Human Resources,Coordination,Support,Officer"</formula1>
    </dataValidation>
    <dataValidation type="list" allowBlank="1" showErrorMessage="1" sqref="G2:G25">
      <formula1>"Graduate Student Member,Undergraduate Student Member,Member"</formula1>
    </dataValidation>
  </dataValidations>
  <hyperlinks>
    <hyperlink r:id="rId2" ref="Q1"/>
    <hyperlink r:id="rId3" ref="R1"/>
    <hyperlink r:id="rId4" ref="S1"/>
    <hyperlink r:id="rId5" ref="T1"/>
    <hyperlink r:id="rId6" ref="D9"/>
    <hyperlink r:id="rId7" ref="D10"/>
    <hyperlink r:id="rId8" ref="D11"/>
    <hyperlink r:id="rId9" ref="D12"/>
    <hyperlink r:id="rId10" ref="D13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</hyperlinks>
  <drawing r:id="rId20"/>
  <legacyDrawing r:id="rId21"/>
  <tableParts count="1">
    <tablePart r:id="rId2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5"/>
    <col customWidth="1" min="2" max="2" width="11.88"/>
    <col customWidth="1" min="3" max="3" width="19.38"/>
    <col customWidth="1" min="4" max="4" width="12.5"/>
    <col customWidth="1" min="5" max="5" width="29.13"/>
    <col customWidth="1" min="6" max="6" width="29.75"/>
    <col customWidth="1" min="7" max="7" width="15.13"/>
    <col customWidth="1" min="8" max="8" width="28.0"/>
    <col customWidth="1" min="9" max="10" width="13.63"/>
    <col customWidth="1" min="11" max="11" width="8.5"/>
    <col customWidth="1" min="12" max="12" width="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>
      <c r="A2" s="4" t="s">
        <v>12</v>
      </c>
      <c r="B2" s="4" t="s">
        <v>13</v>
      </c>
      <c r="C2" s="8" t="str">
        <f t="shared" ref="C2:C26" si="1">A2&amp;" "&amp;B2</f>
        <v>Rafed Jabri</v>
      </c>
      <c r="D2" s="9">
        <v>9.7616481E7</v>
      </c>
      <c r="E2" s="10" t="s">
        <v>18</v>
      </c>
      <c r="F2" s="8" t="s">
        <v>19</v>
      </c>
      <c r="G2" s="11">
        <v>9.4705954E7</v>
      </c>
      <c r="H2" s="10" t="s">
        <v>20</v>
      </c>
      <c r="I2" s="10" t="s">
        <v>21</v>
      </c>
      <c r="J2" s="10" t="s">
        <v>22</v>
      </c>
      <c r="K2" s="12" t="b">
        <v>0</v>
      </c>
      <c r="L2" s="12" t="b">
        <v>0</v>
      </c>
    </row>
    <row r="3">
      <c r="A3" s="4" t="s">
        <v>24</v>
      </c>
      <c r="B3" s="4" t="s">
        <v>25</v>
      </c>
      <c r="C3" s="14" t="str">
        <f t="shared" si="1"/>
        <v>Fares Gharbi</v>
      </c>
      <c r="D3" s="15">
        <v>9.6499196E7</v>
      </c>
      <c r="E3" s="16" t="s">
        <v>26</v>
      </c>
      <c r="F3" s="16" t="s">
        <v>19</v>
      </c>
      <c r="G3" s="15">
        <v>5.3836731E7</v>
      </c>
      <c r="H3" s="16" t="s">
        <v>20</v>
      </c>
      <c r="I3" s="16" t="s">
        <v>27</v>
      </c>
      <c r="J3" s="16" t="s">
        <v>27</v>
      </c>
      <c r="K3" s="17" t="b">
        <v>0</v>
      </c>
      <c r="L3" s="17" t="b">
        <v>0</v>
      </c>
    </row>
    <row r="4">
      <c r="A4" s="4" t="s">
        <v>29</v>
      </c>
      <c r="B4" s="4" t="s">
        <v>30</v>
      </c>
      <c r="C4" s="8" t="str">
        <f t="shared" si="1"/>
        <v>Baha Eddine Hammou</v>
      </c>
      <c r="D4" s="11">
        <v>9.8785094E7</v>
      </c>
      <c r="E4" s="10" t="s">
        <v>31</v>
      </c>
      <c r="F4" s="10" t="s">
        <v>32</v>
      </c>
      <c r="G4" s="11">
        <v>5.4076508E7</v>
      </c>
      <c r="H4" s="10" t="s">
        <v>33</v>
      </c>
      <c r="I4" s="10" t="s">
        <v>34</v>
      </c>
      <c r="J4" s="10" t="s">
        <v>34</v>
      </c>
      <c r="K4" s="19" t="b">
        <v>0</v>
      </c>
      <c r="L4" s="19" t="b">
        <v>0</v>
      </c>
    </row>
    <row r="5">
      <c r="A5" s="4" t="s">
        <v>36</v>
      </c>
      <c r="B5" s="4" t="s">
        <v>37</v>
      </c>
      <c r="C5" s="14" t="str">
        <f t="shared" si="1"/>
        <v>Menyar Ben Rebah</v>
      </c>
      <c r="D5" s="15">
        <v>1.00807137E8</v>
      </c>
      <c r="E5" s="16" t="s">
        <v>38</v>
      </c>
      <c r="F5" s="16" t="s">
        <v>32</v>
      </c>
      <c r="G5" s="15">
        <v>2.9139941E7</v>
      </c>
      <c r="H5" s="16" t="s">
        <v>39</v>
      </c>
      <c r="I5" s="16" t="s">
        <v>34</v>
      </c>
      <c r="J5" s="16" t="s">
        <v>34</v>
      </c>
      <c r="K5" s="17" t="b">
        <v>0</v>
      </c>
      <c r="L5" s="17" t="b">
        <v>0</v>
      </c>
    </row>
    <row r="6">
      <c r="A6" s="4" t="s">
        <v>41</v>
      </c>
      <c r="B6" s="4" t="s">
        <v>42</v>
      </c>
      <c r="C6" s="8" t="str">
        <f t="shared" si="1"/>
        <v>Yosri Essalah</v>
      </c>
      <c r="D6" s="11">
        <v>9.8543055E7</v>
      </c>
      <c r="E6" s="10" t="s">
        <v>43</v>
      </c>
      <c r="F6" s="10" t="s">
        <v>32</v>
      </c>
      <c r="G6" s="11">
        <v>2.082395E7</v>
      </c>
      <c r="H6" s="10" t="s">
        <v>39</v>
      </c>
      <c r="I6" s="10" t="s">
        <v>22</v>
      </c>
      <c r="J6" s="10" t="s">
        <v>34</v>
      </c>
      <c r="K6" s="19" t="b">
        <v>0</v>
      </c>
      <c r="L6" s="12" t="b">
        <v>0</v>
      </c>
    </row>
    <row r="7">
      <c r="A7" s="4" t="s">
        <v>44</v>
      </c>
      <c r="B7" s="4" t="s">
        <v>45</v>
      </c>
      <c r="C7" s="14" t="str">
        <f t="shared" si="1"/>
        <v>Malek Aziz Hassayoun</v>
      </c>
      <c r="D7" s="15">
        <v>9.9613771E7</v>
      </c>
      <c r="E7" s="16" t="s">
        <v>46</v>
      </c>
      <c r="F7" s="16" t="s">
        <v>32</v>
      </c>
      <c r="G7" s="15">
        <v>5.3117541E7</v>
      </c>
      <c r="H7" s="16" t="s">
        <v>47</v>
      </c>
      <c r="I7" s="16" t="s">
        <v>48</v>
      </c>
      <c r="J7" s="16" t="s">
        <v>49</v>
      </c>
      <c r="K7" s="17" t="b">
        <v>0</v>
      </c>
      <c r="L7" s="17" t="b">
        <v>0</v>
      </c>
    </row>
    <row r="8">
      <c r="A8" s="4" t="s">
        <v>50</v>
      </c>
      <c r="B8" s="4" t="s">
        <v>51</v>
      </c>
      <c r="C8" s="8" t="str">
        <f t="shared" si="1"/>
        <v>Nour Limem</v>
      </c>
      <c r="D8" s="11">
        <v>1.01594559E8</v>
      </c>
      <c r="E8" s="10" t="s">
        <v>52</v>
      </c>
      <c r="F8" s="10" t="s">
        <v>32</v>
      </c>
      <c r="G8" s="11">
        <v>5.0610318E7</v>
      </c>
      <c r="H8" s="10" t="s">
        <v>55</v>
      </c>
      <c r="I8" s="10" t="s">
        <v>22</v>
      </c>
      <c r="J8" s="10" t="s">
        <v>56</v>
      </c>
      <c r="K8" s="12" t="b">
        <v>0</v>
      </c>
      <c r="L8" s="12" t="b">
        <v>0</v>
      </c>
    </row>
    <row r="9">
      <c r="A9" s="4" t="s">
        <v>57</v>
      </c>
      <c r="B9" s="4" t="s">
        <v>58</v>
      </c>
      <c r="C9" s="14" t="str">
        <f t="shared" si="1"/>
        <v>Rama Hermi</v>
      </c>
      <c r="D9" s="15">
        <v>9.6390089E7</v>
      </c>
      <c r="E9" s="16" t="s">
        <v>59</v>
      </c>
      <c r="F9" s="16" t="s">
        <v>32</v>
      </c>
      <c r="G9" s="15">
        <v>2.9289771E7</v>
      </c>
      <c r="H9" s="16" t="s">
        <v>20</v>
      </c>
      <c r="I9" s="16" t="s">
        <v>34</v>
      </c>
      <c r="J9" s="16" t="s">
        <v>34</v>
      </c>
      <c r="K9" s="17" t="b">
        <v>0</v>
      </c>
      <c r="L9" s="26" t="b">
        <v>0</v>
      </c>
    </row>
    <row r="10">
      <c r="A10" s="4" t="s">
        <v>62</v>
      </c>
      <c r="B10" s="4" t="s">
        <v>63</v>
      </c>
      <c r="C10" s="8" t="str">
        <f t="shared" si="1"/>
        <v>Chaima Ben Ayed</v>
      </c>
      <c r="D10" s="11">
        <v>9.9800345E7</v>
      </c>
      <c r="E10" s="10" t="s">
        <v>64</v>
      </c>
      <c r="F10" s="10" t="s">
        <v>32</v>
      </c>
      <c r="G10" s="11">
        <v>5.5520863E7</v>
      </c>
      <c r="H10" s="10" t="s">
        <v>20</v>
      </c>
      <c r="I10" s="10" t="s">
        <v>34</v>
      </c>
      <c r="J10" s="10" t="s">
        <v>22</v>
      </c>
      <c r="K10" s="19" t="b">
        <v>0</v>
      </c>
      <c r="L10" s="19" t="b">
        <v>0</v>
      </c>
    </row>
    <row r="11" ht="28.5" customHeight="1">
      <c r="A11" s="4" t="s">
        <v>66</v>
      </c>
      <c r="B11" s="4" t="s">
        <v>67</v>
      </c>
      <c r="C11" s="14" t="str">
        <f t="shared" si="1"/>
        <v>Jaber Soyed</v>
      </c>
      <c r="D11" s="15">
        <v>9.8797666E7</v>
      </c>
      <c r="E11" s="16" t="s">
        <v>68</v>
      </c>
      <c r="F11" s="16" t="s">
        <v>32</v>
      </c>
      <c r="G11" s="15"/>
      <c r="H11" s="16" t="s">
        <v>69</v>
      </c>
      <c r="I11" s="16" t="s">
        <v>70</v>
      </c>
      <c r="J11" s="16" t="s">
        <v>70</v>
      </c>
      <c r="K11" s="27" t="b">
        <v>0</v>
      </c>
      <c r="L11" s="27" t="b">
        <v>0</v>
      </c>
    </row>
    <row r="12">
      <c r="A12" s="4" t="s">
        <v>71</v>
      </c>
      <c r="B12" s="4" t="s">
        <v>72</v>
      </c>
      <c r="C12" s="8" t="str">
        <f t="shared" si="1"/>
        <v>Oussama Ben Mahmoud</v>
      </c>
      <c r="D12" s="11">
        <v>9.7259045E7</v>
      </c>
      <c r="E12" s="10" t="s">
        <v>73</v>
      </c>
      <c r="F12" s="10" t="s">
        <v>32</v>
      </c>
      <c r="G12" s="11">
        <v>5.5199445E7</v>
      </c>
      <c r="H12" s="10" t="s">
        <v>74</v>
      </c>
      <c r="I12" s="10" t="s">
        <v>70</v>
      </c>
      <c r="J12" s="10" t="s">
        <v>70</v>
      </c>
      <c r="K12" s="19" t="b">
        <v>0</v>
      </c>
      <c r="L12" s="19" t="b">
        <v>0</v>
      </c>
    </row>
    <row r="13">
      <c r="A13" s="4" t="s">
        <v>50</v>
      </c>
      <c r="B13" s="4" t="s">
        <v>75</v>
      </c>
      <c r="C13" s="14" t="str">
        <f t="shared" si="1"/>
        <v>Nour Chargui</v>
      </c>
      <c r="D13" s="15">
        <v>9.9155792E7</v>
      </c>
      <c r="E13" s="16" t="s">
        <v>76</v>
      </c>
      <c r="F13" s="16" t="s">
        <v>32</v>
      </c>
      <c r="G13" s="15">
        <v>5.840124E7</v>
      </c>
      <c r="H13" s="16" t="s">
        <v>77</v>
      </c>
      <c r="I13" s="16" t="s">
        <v>22</v>
      </c>
      <c r="J13" s="16" t="s">
        <v>49</v>
      </c>
      <c r="K13" s="17" t="b">
        <v>0</v>
      </c>
      <c r="L13" s="17" t="b">
        <v>0</v>
      </c>
    </row>
    <row r="14">
      <c r="A14" s="4" t="s">
        <v>79</v>
      </c>
      <c r="B14" s="4" t="s">
        <v>80</v>
      </c>
      <c r="C14" s="8" t="str">
        <f t="shared" si="1"/>
        <v>Ayoub Madyouni</v>
      </c>
      <c r="D14" s="11">
        <v>9.9690989E7</v>
      </c>
      <c r="E14" s="10" t="s">
        <v>81</v>
      </c>
      <c r="F14" s="10" t="s">
        <v>32</v>
      </c>
      <c r="G14" s="11">
        <v>5.8460594E7</v>
      </c>
      <c r="H14" s="10" t="s">
        <v>20</v>
      </c>
      <c r="I14" s="10" t="s">
        <v>34</v>
      </c>
      <c r="J14" s="10" t="s">
        <v>34</v>
      </c>
      <c r="K14" s="19" t="b">
        <v>0</v>
      </c>
      <c r="L14" s="19" t="b">
        <v>0</v>
      </c>
    </row>
    <row r="15">
      <c r="A15" s="4" t="s">
        <v>83</v>
      </c>
      <c r="B15" s="4" t="s">
        <v>84</v>
      </c>
      <c r="C15" s="14" t="str">
        <f t="shared" si="1"/>
        <v>Nermine Ouada</v>
      </c>
      <c r="D15" s="15">
        <v>1.00288617E8</v>
      </c>
      <c r="E15" s="16" t="s">
        <v>86</v>
      </c>
      <c r="F15" s="16" t="s">
        <v>87</v>
      </c>
      <c r="G15" s="15">
        <v>9.7258557E7</v>
      </c>
      <c r="H15" s="16" t="s">
        <v>88</v>
      </c>
      <c r="I15" s="16" t="s">
        <v>34</v>
      </c>
      <c r="J15" s="16" t="s">
        <v>49</v>
      </c>
      <c r="K15" s="17" t="b">
        <v>0</v>
      </c>
      <c r="L15" s="17" t="b">
        <v>0</v>
      </c>
    </row>
    <row r="16">
      <c r="A16" s="4" t="s">
        <v>91</v>
      </c>
      <c r="B16" s="4" t="s">
        <v>92</v>
      </c>
      <c r="C16" s="8" t="str">
        <f t="shared" si="1"/>
        <v>Tasnim Saidi</v>
      </c>
      <c r="D16" s="11">
        <v>1.01682767E8</v>
      </c>
      <c r="E16" s="10" t="s">
        <v>93</v>
      </c>
      <c r="F16" s="10" t="s">
        <v>87</v>
      </c>
      <c r="G16" s="11" t="s">
        <v>94</v>
      </c>
      <c r="H16" s="10" t="s">
        <v>88</v>
      </c>
      <c r="I16" s="10" t="s">
        <v>49</v>
      </c>
      <c r="J16" s="10" t="s">
        <v>49</v>
      </c>
      <c r="K16" s="19" t="b">
        <v>0</v>
      </c>
      <c r="L16" s="19" t="b">
        <v>0</v>
      </c>
    </row>
    <row r="17">
      <c r="A17" s="4" t="s">
        <v>96</v>
      </c>
      <c r="B17" s="4" t="s">
        <v>85</v>
      </c>
      <c r="C17" s="14" t="str">
        <f t="shared" si="1"/>
        <v>Ahmed Masmoudi</v>
      </c>
      <c r="D17" s="15">
        <v>1.00639279E8</v>
      </c>
      <c r="E17" s="16" t="s">
        <v>101</v>
      </c>
      <c r="F17" s="16" t="s">
        <v>87</v>
      </c>
      <c r="G17" s="15">
        <v>2.5359923E7</v>
      </c>
      <c r="H17" s="16" t="s">
        <v>102</v>
      </c>
      <c r="I17" s="16" t="s">
        <v>27</v>
      </c>
      <c r="J17" s="16" t="s">
        <v>27</v>
      </c>
      <c r="K17" s="17" t="b">
        <v>0</v>
      </c>
      <c r="L17" s="17" t="b">
        <v>0</v>
      </c>
    </row>
    <row r="18">
      <c r="A18" s="4" t="s">
        <v>103</v>
      </c>
      <c r="B18" s="4" t="s">
        <v>104</v>
      </c>
      <c r="C18" s="8" t="str">
        <f t="shared" si="1"/>
        <v>Mejdi Chennoufi</v>
      </c>
      <c r="D18" s="11">
        <v>1.01800243E8</v>
      </c>
      <c r="E18" s="10" t="s">
        <v>108</v>
      </c>
      <c r="F18" s="10" t="s">
        <v>87</v>
      </c>
      <c r="G18" s="11">
        <v>2.694563E7</v>
      </c>
      <c r="H18" s="10" t="s">
        <v>102</v>
      </c>
      <c r="I18" s="10" t="s">
        <v>110</v>
      </c>
      <c r="J18" s="10" t="s">
        <v>27</v>
      </c>
      <c r="K18" s="19" t="b">
        <v>0</v>
      </c>
      <c r="L18" s="19" t="b">
        <v>0</v>
      </c>
    </row>
    <row r="19">
      <c r="A19" s="4" t="s">
        <v>50</v>
      </c>
      <c r="B19" s="4" t="s">
        <v>111</v>
      </c>
      <c r="C19" s="14" t="str">
        <f t="shared" si="1"/>
        <v>Nour Guidara</v>
      </c>
      <c r="D19" s="15">
        <v>1.01893442E8</v>
      </c>
      <c r="E19" s="16" t="s">
        <v>112</v>
      </c>
      <c r="F19" s="16" t="s">
        <v>87</v>
      </c>
      <c r="G19" s="15">
        <v>2.9866624E7</v>
      </c>
      <c r="H19" s="16" t="s">
        <v>102</v>
      </c>
      <c r="I19" s="16" t="s">
        <v>27</v>
      </c>
      <c r="J19" s="16" t="s">
        <v>27</v>
      </c>
      <c r="K19" s="17" t="b">
        <v>0</v>
      </c>
      <c r="L19" s="17" t="b">
        <v>0</v>
      </c>
    </row>
    <row r="20">
      <c r="A20" s="4" t="s">
        <v>114</v>
      </c>
      <c r="B20" s="4" t="s">
        <v>116</v>
      </c>
      <c r="C20" s="8" t="str">
        <f t="shared" si="1"/>
        <v>Eya Jaoua</v>
      </c>
      <c r="D20" s="11">
        <v>9.9638308E7</v>
      </c>
      <c r="E20" s="10" t="s">
        <v>118</v>
      </c>
      <c r="F20" s="10" t="s">
        <v>87</v>
      </c>
      <c r="G20" s="11">
        <v>2.0175979E7</v>
      </c>
      <c r="H20" s="10" t="s">
        <v>120</v>
      </c>
      <c r="I20" s="10" t="s">
        <v>27</v>
      </c>
      <c r="J20" s="10" t="s">
        <v>27</v>
      </c>
      <c r="K20" s="19" t="b">
        <v>0</v>
      </c>
      <c r="L20" s="19" t="b">
        <v>0</v>
      </c>
    </row>
    <row r="21">
      <c r="A21" s="4" t="s">
        <v>121</v>
      </c>
      <c r="B21" s="4" t="s">
        <v>122</v>
      </c>
      <c r="C21" s="14" t="str">
        <f t="shared" si="1"/>
        <v>Molka Weslati</v>
      </c>
      <c r="D21" s="15">
        <v>9.9753285E7</v>
      </c>
      <c r="E21" s="16" t="s">
        <v>123</v>
      </c>
      <c r="F21" s="16" t="s">
        <v>87</v>
      </c>
      <c r="G21" s="15">
        <v>5.1947289E7</v>
      </c>
      <c r="H21" s="16" t="s">
        <v>126</v>
      </c>
      <c r="I21" s="16" t="s">
        <v>56</v>
      </c>
      <c r="J21" s="16" t="s">
        <v>34</v>
      </c>
      <c r="K21" s="17" t="b">
        <v>0</v>
      </c>
      <c r="L21" s="17" t="b">
        <v>0</v>
      </c>
    </row>
    <row r="22">
      <c r="A22" s="4" t="s">
        <v>129</v>
      </c>
      <c r="B22" s="4" t="s">
        <v>130</v>
      </c>
      <c r="C22" s="8" t="str">
        <f t="shared" si="1"/>
        <v>Yasmine Aidoudi</v>
      </c>
      <c r="D22" s="11">
        <v>1.00065541E8</v>
      </c>
      <c r="E22" s="10" t="s">
        <v>131</v>
      </c>
      <c r="F22" s="10" t="s">
        <v>87</v>
      </c>
      <c r="G22" s="11">
        <v>5.6417693E7</v>
      </c>
      <c r="H22" s="10" t="s">
        <v>126</v>
      </c>
      <c r="I22" s="10" t="s">
        <v>22</v>
      </c>
      <c r="J22" s="10" t="s">
        <v>34</v>
      </c>
      <c r="K22" s="19" t="b">
        <v>0</v>
      </c>
      <c r="L22" s="19" t="b">
        <v>0</v>
      </c>
    </row>
    <row r="23">
      <c r="A23" s="4" t="s">
        <v>135</v>
      </c>
      <c r="B23" s="4" t="s">
        <v>136</v>
      </c>
      <c r="C23" s="14" t="str">
        <f t="shared" si="1"/>
        <v>Maram Kharroubi</v>
      </c>
      <c r="D23" s="15">
        <v>1.00643124E8</v>
      </c>
      <c r="E23" s="16" t="s">
        <v>138</v>
      </c>
      <c r="F23" s="16" t="s">
        <v>87</v>
      </c>
      <c r="G23" s="15">
        <v>9.2838763E7</v>
      </c>
      <c r="H23" s="16" t="s">
        <v>139</v>
      </c>
      <c r="I23" s="16" t="s">
        <v>34</v>
      </c>
      <c r="J23" s="16" t="s">
        <v>140</v>
      </c>
      <c r="K23" s="17" t="b">
        <v>0</v>
      </c>
      <c r="L23" s="17" t="b">
        <v>0</v>
      </c>
    </row>
    <row r="24">
      <c r="A24" s="4" t="s">
        <v>141</v>
      </c>
      <c r="B24" s="4" t="s">
        <v>142</v>
      </c>
      <c r="C24" s="8" t="str">
        <f t="shared" si="1"/>
        <v>Mohamed Saddour</v>
      </c>
      <c r="D24" s="11">
        <v>1.01733247E8</v>
      </c>
      <c r="E24" s="10" t="s">
        <v>143</v>
      </c>
      <c r="F24" s="10" t="s">
        <v>87</v>
      </c>
      <c r="G24" s="11">
        <v>9.499236E7</v>
      </c>
      <c r="H24" s="10" t="s">
        <v>55</v>
      </c>
      <c r="I24" s="10" t="s">
        <v>56</v>
      </c>
      <c r="J24" s="10" t="s">
        <v>56</v>
      </c>
      <c r="K24" s="19" t="b">
        <v>0</v>
      </c>
      <c r="L24" s="19" t="b">
        <v>0</v>
      </c>
    </row>
    <row r="25">
      <c r="A25" s="4" t="s">
        <v>146</v>
      </c>
      <c r="B25" s="4" t="s">
        <v>147</v>
      </c>
      <c r="C25" s="14" t="str">
        <f t="shared" si="1"/>
        <v>Ameni Selmi</v>
      </c>
      <c r="D25" s="15">
        <v>1.01691221E8</v>
      </c>
      <c r="E25" s="16" t="s">
        <v>149</v>
      </c>
      <c r="F25" s="16" t="s">
        <v>87</v>
      </c>
      <c r="G25" s="15">
        <v>2.9094304E7</v>
      </c>
      <c r="H25" s="16" t="s">
        <v>120</v>
      </c>
      <c r="I25" s="16" t="s">
        <v>110</v>
      </c>
      <c r="J25" s="16" t="s">
        <v>27</v>
      </c>
      <c r="K25" s="17" t="b">
        <v>0</v>
      </c>
      <c r="L25" s="17" t="b">
        <v>0</v>
      </c>
    </row>
    <row r="26">
      <c r="A26" s="4" t="s">
        <v>150</v>
      </c>
      <c r="B26" s="4" t="s">
        <v>151</v>
      </c>
      <c r="C26" s="8" t="str">
        <f t="shared" si="1"/>
        <v>Nada Nar</v>
      </c>
      <c r="D26" s="11">
        <v>9.9757211E7</v>
      </c>
      <c r="E26" s="10" t="s">
        <v>152</v>
      </c>
      <c r="F26" s="10" t="s">
        <v>87</v>
      </c>
      <c r="G26" s="11">
        <v>9.9922212E7</v>
      </c>
      <c r="H26" s="10" t="s">
        <v>153</v>
      </c>
      <c r="I26" s="10" t="s">
        <v>56</v>
      </c>
      <c r="J26" s="10" t="s">
        <v>70</v>
      </c>
      <c r="K26" s="19" t="b">
        <v>0</v>
      </c>
      <c r="L26" s="19" t="b">
        <v>0</v>
      </c>
    </row>
  </sheetData>
  <autoFilter ref="$A$1:$L$26"/>
  <dataValidations>
    <dataValidation type="list" allowBlank="1" showErrorMessage="1" sqref="F2:F26">
      <formula1>"Graduate Student Member,Member,Undergraduate Student Member"</formula1>
    </dataValidation>
    <dataValidation type="list" allowBlank="1" showErrorMessage="1" sqref="I2:J26">
      <formula1>"Ariana,Beja,Ben Arous,Bizerte,Gabes,Monastir,Nabeul,Sfax,Sousse,Tunis"</formula1>
    </dataValidation>
  </dataValidations>
  <drawing r:id="rId1"/>
</worksheet>
</file>